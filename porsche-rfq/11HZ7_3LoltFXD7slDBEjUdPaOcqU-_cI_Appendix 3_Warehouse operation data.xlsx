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ing Issue\Contract\Shanghai 2026 Extension\Tender\"/>
    </mc:Choice>
  </mc:AlternateContent>
  <xr:revisionPtr revIDLastSave="0" documentId="13_ncr:1_{E1CD2E7B-CF2E-4967-B250-32C113EF01FF}" xr6:coauthVersionLast="47" xr6:coauthVersionMax="47" xr10:uidLastSave="{00000000-0000-0000-0000-000000000000}"/>
  <bookViews>
    <workbookView xWindow="-120" yWindow="-120" windowWidth="29040" windowHeight="15840" tabRatio="533" xr2:uid="{00000000-000D-0000-FFFF-FFFF00000000}"/>
  </bookViews>
  <sheets>
    <sheet name="dynamic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8" i="2"/>
  <c r="B12" i="2"/>
  <c r="B9" i="2"/>
  <c r="B8" i="2"/>
  <c r="F12" i="2" l="1"/>
  <c r="E12" i="2"/>
  <c r="D12" i="2"/>
  <c r="E9" i="2"/>
  <c r="E8" i="2"/>
  <c r="D8" i="2"/>
  <c r="D9" i="2"/>
  <c r="C9" i="2"/>
  <c r="F9" i="2" l="1"/>
  <c r="F8" i="2"/>
</calcChain>
</file>

<file path=xl/sharedStrings.xml><?xml version="1.0" encoding="utf-8"?>
<sst xmlns="http://schemas.openxmlformats.org/spreadsheetml/2006/main" count="15" uniqueCount="15">
  <si>
    <t>Inventory (Counting lines per year)</t>
  </si>
  <si>
    <t>INBOUND processes</t>
  </si>
  <si>
    <t>OUTBOUND processes</t>
  </si>
  <si>
    <t>Special processes</t>
  </si>
  <si>
    <t>Outbound Lines (Dealer orders) per year</t>
  </si>
  <si>
    <t>Inbound Lines Volume per week (average)</t>
  </si>
  <si>
    <t>Inbound Lines Express per working day (average)</t>
  </si>
  <si>
    <t>Outbound Lines (Dealer orders) per working day (average)</t>
  </si>
  <si>
    <t>Chinese labeling (pieces per year)</t>
  </si>
  <si>
    <t>Appendix 4: Appendix 4_Warehouse operation data</t>
  </si>
  <si>
    <t>Inbound Lines per year</t>
  </si>
  <si>
    <t>Remark: The forecasts are subject to change and should not be construed as a commitment for future. Porsche (China) Motors Ltd reserves the right to adjust goods flow/demand according to supply chain strategy change.</t>
  </si>
  <si>
    <t>Key cutting(per year)</t>
  </si>
  <si>
    <t>Warranty and Returns&amp;Scrapping (lines per year)</t>
  </si>
  <si>
    <t>Customs inspection (lines 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</si>
</sst>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Porsche News Gothic"/>
    </font>
    <font>
      <sz val="10"/>
      <name val="News Gothic"/>
      <family val="2"/>
    </font>
    <font>
      <sz val="10"/>
      <name val="Porsche News Gothic"/>
    </font>
    <font>
      <sz val="11"/>
      <name val="Porsche Next TT"/>
      <family val="2"/>
    </font>
    <font>
      <b/>
      <sz val="14"/>
      <name val="Porsche Next TT"/>
      <family val="2"/>
    </font>
    <font>
      <sz val="14"/>
      <name val="Porsche Next TT"/>
      <family val="2"/>
    </font>
    <font>
      <sz val="12"/>
      <name val="Porsche Next TT"/>
      <family val="2"/>
    </font>
    <font>
      <sz val="14"/>
      <name val="Porsche Next"/>
      <family val="2"/>
    </font>
    <font>
      <b/>
      <sz val="14"/>
      <name val="Porsche Nex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7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left" vertical="center" wrapText="1"/>
    </xf>
  </cellXfs>
  <cellStyles count="3">
    <cellStyle name="Normal" xfId="0" builtinId="0"/>
    <cellStyle name="Процентный 2" xfId="1" xr:uid="{00000000-0005-0000-0000-000001000000}"/>
    <cellStyle name="標準_Transportqualitaet_FPOR_Japan_Boxster" xfId="2" xr:uid="{00000000-0005-0000-0000-000002000000}"/>
  </cellStyles>
  <dxfs count="0"/>
  <tableStyles count="0" defaultTableStyle="TableStyleMedium2" defaultPivotStyle="PivotStyleLight16"/>
  <colors>
    <mruColors>
      <color rgb="FFFFFFC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22"/>
  <sheetViews>
    <sheetView showGridLines="0" tabSelected="1" zoomScale="85" zoomScaleNormal="85" workbookViewId="0">
      <selection activeCell="J19" sqref="J19"/>
    </sheetView>
  </sheetViews>
  <sheetFormatPr defaultColWidth="11.42578125" defaultRowHeight="20.100000000000001" customHeight="1"/>
  <cols>
    <col min="1" max="1" width="65.140625" style="4" bestFit="1" customWidth="1"/>
    <col min="2" max="4" width="15.85546875" style="4" bestFit="1" customWidth="1"/>
    <col min="5" max="5" width="13.5703125" style="5" bestFit="1" customWidth="1"/>
    <col min="6" max="6" width="15.85546875" style="5" bestFit="1" customWidth="1"/>
    <col min="7" max="7" width="9.28515625" style="5" bestFit="1" customWidth="1"/>
    <col min="8" max="8" width="61" style="5" bestFit="1" customWidth="1"/>
    <col min="9" max="16384" width="11.42578125" style="1"/>
  </cols>
  <sheetData>
    <row r="2" spans="1:8" s="3" customFormat="1" ht="20.100000000000001" customHeight="1">
      <c r="A2" s="2" t="s">
        <v>9</v>
      </c>
      <c r="B2" s="4"/>
      <c r="C2" s="4"/>
      <c r="D2" s="4"/>
      <c r="E2" s="5"/>
      <c r="F2" s="5"/>
      <c r="G2" s="5"/>
      <c r="H2" s="5"/>
    </row>
    <row r="5" spans="1:8" ht="20.100000000000001" customHeight="1">
      <c r="A5" s="6"/>
      <c r="B5" s="7">
        <v>2026</v>
      </c>
      <c r="C5" s="7">
        <v>2027</v>
      </c>
      <c r="D5" s="7">
        <v>2028</v>
      </c>
      <c r="E5" s="7">
        <v>2029</v>
      </c>
      <c r="F5" s="7">
        <v>2030</v>
      </c>
    </row>
    <row r="6" spans="1:8" ht="20.100000000000001" customHeight="1">
      <c r="A6" s="8" t="s">
        <v>1</v>
      </c>
      <c r="B6" s="8"/>
      <c r="C6" s="8"/>
      <c r="D6" s="8"/>
      <c r="E6" s="8"/>
      <c r="F6" s="8"/>
    </row>
    <row r="7" spans="1:8" ht="20.100000000000001" customHeight="1">
      <c r="A7" s="9" t="s">
        <v>10</v>
      </c>
      <c r="B7" s="10">
        <v>219909</v>
      </c>
      <c r="C7" s="10">
        <v>213311.72999999998</v>
      </c>
      <c r="D7" s="10">
        <v>206912.37809999997</v>
      </c>
      <c r="E7" s="10">
        <v>213119.74944299998</v>
      </c>
      <c r="F7" s="10">
        <v>219513.34192628998</v>
      </c>
    </row>
    <row r="8" spans="1:8" ht="20.100000000000001" customHeight="1">
      <c r="A8" s="9" t="s">
        <v>6</v>
      </c>
      <c r="B8" s="10">
        <f>B7/293</f>
        <v>750.5426621160409</v>
      </c>
      <c r="C8" s="10">
        <f t="shared" ref="C8:F8" si="0">C7/293</f>
        <v>728.02638225255964</v>
      </c>
      <c r="D8" s="10">
        <f t="shared" si="0"/>
        <v>706.18559078498288</v>
      </c>
      <c r="E8" s="10">
        <f t="shared" si="0"/>
        <v>727.3711585085324</v>
      </c>
      <c r="F8" s="10">
        <f t="shared" si="0"/>
        <v>749.19229326378832</v>
      </c>
    </row>
    <row r="9" spans="1:8" ht="20.100000000000001" customHeight="1">
      <c r="A9" s="9" t="s">
        <v>5</v>
      </c>
      <c r="B9" s="10">
        <f>B7/52</f>
        <v>4229.0192307692305</v>
      </c>
      <c r="C9" s="10">
        <f t="shared" ref="C9:F9" si="1">C7/52</f>
        <v>4102.1486538461531</v>
      </c>
      <c r="D9" s="10">
        <f t="shared" si="1"/>
        <v>3979.0841942307688</v>
      </c>
      <c r="E9" s="10">
        <f t="shared" si="1"/>
        <v>4098.4567200576921</v>
      </c>
      <c r="F9" s="10">
        <f t="shared" si="1"/>
        <v>4221.4104216594224</v>
      </c>
    </row>
    <row r="10" spans="1:8" ht="20.100000000000001" customHeight="1">
      <c r="A10" s="8" t="s">
        <v>2</v>
      </c>
      <c r="B10" s="8"/>
      <c r="C10" s="8"/>
      <c r="D10" s="8"/>
      <c r="E10" s="8"/>
      <c r="F10" s="8"/>
    </row>
    <row r="11" spans="1:8" ht="20.100000000000001" customHeight="1">
      <c r="A11" s="9" t="s">
        <v>4</v>
      </c>
      <c r="B11" s="10">
        <v>714206</v>
      </c>
      <c r="C11" s="10">
        <v>692779.82</v>
      </c>
      <c r="D11" s="10">
        <v>671996.42539999995</v>
      </c>
      <c r="E11" s="10">
        <v>692156.31816199992</v>
      </c>
      <c r="F11" s="10">
        <v>712921.00770685996</v>
      </c>
    </row>
    <row r="12" spans="1:8" ht="20.100000000000001" customHeight="1">
      <c r="A12" s="9" t="s">
        <v>7</v>
      </c>
      <c r="B12" s="10">
        <f>B11/293</f>
        <v>2437.5631399317408</v>
      </c>
      <c r="C12" s="10">
        <f t="shared" ref="C12:F12" si="2">C11/293</f>
        <v>2364.4362457337884</v>
      </c>
      <c r="D12" s="10">
        <f t="shared" si="2"/>
        <v>2293.5031583617747</v>
      </c>
      <c r="E12" s="10">
        <f t="shared" si="2"/>
        <v>2362.3082531126279</v>
      </c>
      <c r="F12" s="10">
        <f t="shared" si="2"/>
        <v>2433.1775007060069</v>
      </c>
    </row>
    <row r="13" spans="1:8" ht="20.100000000000001" customHeight="1">
      <c r="A13" s="8" t="s">
        <v>3</v>
      </c>
      <c r="B13" s="8"/>
      <c r="C13" s="8"/>
      <c r="D13" s="8"/>
      <c r="E13" s="8"/>
      <c r="F13" s="8"/>
    </row>
    <row r="14" spans="1:8" ht="22.5">
      <c r="A14" s="9" t="s">
        <v>0</v>
      </c>
      <c r="B14" s="10">
        <v>117666</v>
      </c>
      <c r="C14" s="10">
        <v>114136.02</v>
      </c>
      <c r="D14" s="10">
        <v>110711.9394</v>
      </c>
      <c r="E14" s="10">
        <v>114033.297582</v>
      </c>
      <c r="F14" s="10">
        <v>117454.29650946001</v>
      </c>
    </row>
    <row r="15" spans="1:8" ht="22.5">
      <c r="A15" s="9" t="s">
        <v>13</v>
      </c>
      <c r="B15" s="10">
        <v>12943</v>
      </c>
      <c r="C15" s="10">
        <v>12554.71</v>
      </c>
      <c r="D15" s="10">
        <v>12178.068699999998</v>
      </c>
      <c r="E15" s="10">
        <v>12543.410760999997</v>
      </c>
      <c r="F15" s="10">
        <v>12919.713083829998</v>
      </c>
    </row>
    <row r="16" spans="1:8" ht="22.5">
      <c r="A16" s="11" t="s">
        <v>8</v>
      </c>
      <c r="B16" s="10">
        <v>1976652</v>
      </c>
      <c r="C16" s="10">
        <v>1917352.44</v>
      </c>
      <c r="D16" s="10">
        <v>1859831.8668</v>
      </c>
      <c r="E16" s="10">
        <v>1915626.822804</v>
      </c>
      <c r="F16" s="10">
        <v>1973095.62748812</v>
      </c>
    </row>
    <row r="17" spans="1:6" ht="22.5">
      <c r="A17" s="11" t="s">
        <v>14</v>
      </c>
      <c r="B17" s="10">
        <v>1800</v>
      </c>
      <c r="C17" s="10">
        <v>1746</v>
      </c>
      <c r="D17" s="10">
        <v>1693</v>
      </c>
      <c r="E17" s="10">
        <v>1778</v>
      </c>
      <c r="F17" s="10">
        <v>1867</v>
      </c>
    </row>
    <row r="18" spans="1:6" ht="22.5">
      <c r="A18" s="11" t="s">
        <v>12</v>
      </c>
      <c r="B18" s="10">
        <v>2880</v>
      </c>
      <c r="C18" s="10">
        <v>2793</v>
      </c>
      <c r="D18" s="10">
        <v>2598</v>
      </c>
      <c r="E18" s="10">
        <v>2468</v>
      </c>
      <c r="F18" s="10">
        <v>2344</v>
      </c>
    </row>
    <row r="19" spans="1:6" ht="20.100000000000001" customHeight="1">
      <c r="A19" s="12" t="s">
        <v>11</v>
      </c>
      <c r="B19" s="12"/>
      <c r="C19" s="12"/>
      <c r="D19" s="12"/>
      <c r="E19" s="12"/>
      <c r="F19" s="12"/>
    </row>
    <row r="20" spans="1:6" ht="20.100000000000001" customHeight="1">
      <c r="A20" s="12"/>
      <c r="B20" s="12"/>
      <c r="C20" s="12"/>
      <c r="D20" s="12"/>
      <c r="E20" s="12"/>
      <c r="F20" s="12"/>
    </row>
    <row r="21" spans="1:6" ht="20.100000000000001" customHeight="1">
      <c r="A21" s="12"/>
      <c r="B21" s="12"/>
      <c r="C21" s="12"/>
      <c r="D21" s="12"/>
      <c r="E21" s="12"/>
      <c r="F21" s="12"/>
    </row>
    <row r="22" spans="1:6" ht="20.100000000000001" customHeight="1">
      <c r="A22" s="12"/>
      <c r="B22" s="12"/>
      <c r="C22" s="12"/>
      <c r="D22" s="12"/>
      <c r="E22" s="12"/>
      <c r="F22" s="12"/>
    </row>
  </sheetData>
  <mergeCells count="1">
    <mergeCell ref="A19:F22"/>
  </mergeCells>
  <pageMargins left="0.75" right="0.75" top="1" bottom="1" header="0.4921259845" footer="0.4921259845"/>
  <pageSetup paperSize="9" scale="89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5bf6620f-7eed-4061-8295-6eb49c63a023" origin="userSelected"/>
</file>

<file path=customXml/itemProps1.xml><?xml version="1.0" encoding="utf-8"?>
<ds:datastoreItem xmlns:ds="http://schemas.openxmlformats.org/officeDocument/2006/customXml" ds:itemID="{BC02A1AE-5F13-45E2-AEC3-DAB1ABA61FC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data</vt:lpstr>
    </vt:vector>
  </TitlesOfParts>
  <Company>Dr. Ing. h. c. F. Porsche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hartmas2</dc:creator>
  <cp:lastModifiedBy>Li, Shoupeng (PCN)</cp:lastModifiedBy>
  <cp:lastPrinted>2025-12-29T03:11:34Z</cp:lastPrinted>
  <dcterms:created xsi:type="dcterms:W3CDTF">2008-02-26T06:45:06Z</dcterms:created>
  <dcterms:modified xsi:type="dcterms:W3CDTF">2026-01-08T07:08:19Z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7dc2614e-1d35-424b-ab80-19de0c8902ad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gvUEDLGD2MzKMMzdN2sDNzGFjj03JAAG</vt:lpwstr>
  </property>
  <property fmtid="{D5CDD505-2E9C-101B-9397-08002B2CF9AE}" pid="5" name="MSIP_Label_62c08b35-7242-47e5-b448-3d83cc8b034d_Enabled">
    <vt:lpwstr>true</vt:lpwstr>
  </property>
  <property fmtid="{D5CDD505-2E9C-101B-9397-08002B2CF9AE}" pid="6" name="MSIP_Label_62c08b35-7242-47e5-b448-3d83cc8b034d_SetDate">
    <vt:lpwstr>2025-12-24T01:32:41Z</vt:lpwstr>
  </property>
  <property fmtid="{D5CDD505-2E9C-101B-9397-08002B2CF9AE}" pid="7" name="MSIP_Label_62c08b35-7242-47e5-b448-3d83cc8b034d_Method">
    <vt:lpwstr>Privileged</vt:lpwstr>
  </property>
  <property fmtid="{D5CDD505-2E9C-101B-9397-08002B2CF9AE}" pid="8" name="MSIP_Label_62c08b35-7242-47e5-b448-3d83cc8b034d_Name">
    <vt:lpwstr>Internal</vt:lpwstr>
  </property>
  <property fmtid="{D5CDD505-2E9C-101B-9397-08002B2CF9AE}" pid="9" name="MSIP_Label_62c08b35-7242-47e5-b448-3d83cc8b034d_SiteId">
    <vt:lpwstr>b04c3c82-e11d-4e09-80f5-337eaff38a03</vt:lpwstr>
  </property>
  <property fmtid="{D5CDD505-2E9C-101B-9397-08002B2CF9AE}" pid="10" name="MSIP_Label_62c08b35-7242-47e5-b448-3d83cc8b034d_ActionId">
    <vt:lpwstr>0c130e24-0675-4142-8411-669a07e0dd6d</vt:lpwstr>
  </property>
  <property fmtid="{D5CDD505-2E9C-101B-9397-08002B2CF9AE}" pid="11" name="MSIP_Label_62c08b35-7242-47e5-b448-3d83cc8b034d_ContentBits">
    <vt:lpwstr>0</vt:lpwstr>
  </property>
  <property fmtid="{D5CDD505-2E9C-101B-9397-08002B2CF9AE}" pid="12" name="MSIP_Label_62c08b35-7242-47e5-b448-3d83cc8b034d_Tag">
    <vt:lpwstr>10, 0, 1, 1</vt:lpwstr>
  </property>
</Properties>
</file>